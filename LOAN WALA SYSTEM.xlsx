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S\Documents\"/>
    </mc:Choice>
  </mc:AlternateContent>
  <xr:revisionPtr revIDLastSave="0" documentId="13_ncr:1_{C0E695C0-F08C-4A11-9E7B-2AB421D9ABB6}" xr6:coauthVersionLast="47" xr6:coauthVersionMax="47" xr10:uidLastSave="{00000000-0000-0000-0000-000000000000}"/>
  <bookViews>
    <workbookView xWindow="-120" yWindow="-120" windowWidth="19695" windowHeight="11760" xr2:uid="{E8226305-83CF-42E1-BFD9-ACB14F669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G42" i="1"/>
  <c r="F42" i="1"/>
  <c r="E42" i="1"/>
  <c r="G30" i="1"/>
  <c r="G31" i="1"/>
  <c r="G32" i="1"/>
  <c r="G33" i="1"/>
  <c r="G34" i="1"/>
  <c r="G35" i="1"/>
  <c r="G36" i="1"/>
  <c r="G37" i="1"/>
  <c r="G38" i="1"/>
  <c r="G39" i="1"/>
  <c r="G40" i="1"/>
  <c r="G41" i="1"/>
  <c r="F30" i="1"/>
  <c r="F31" i="1"/>
  <c r="F32" i="1"/>
  <c r="F33" i="1"/>
  <c r="F34" i="1"/>
  <c r="F35" i="1"/>
  <c r="F36" i="1"/>
  <c r="F37" i="1"/>
  <c r="F38" i="1"/>
  <c r="F39" i="1"/>
  <c r="F40" i="1"/>
  <c r="F41" i="1"/>
  <c r="E30" i="1"/>
  <c r="E31" i="1"/>
  <c r="E32" i="1"/>
  <c r="E33" i="1"/>
  <c r="E34" i="1"/>
  <c r="E35" i="1"/>
  <c r="E36" i="1"/>
  <c r="E37" i="1"/>
  <c r="E38" i="1"/>
  <c r="E39" i="1"/>
  <c r="E40" i="1"/>
  <c r="E41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6" i="1"/>
  <c r="D34" i="1" l="1"/>
  <c r="D35" i="1" s="1"/>
  <c r="D36" i="1" s="1"/>
  <c r="D37" i="1" s="1"/>
  <c r="D38" i="1" s="1"/>
  <c r="D39" i="1" s="1"/>
  <c r="D40" i="1" s="1"/>
  <c r="D41" i="1" s="1"/>
</calcChain>
</file>

<file path=xl/sharedStrings.xml><?xml version="1.0" encoding="utf-8"?>
<sst xmlns="http://schemas.openxmlformats.org/spreadsheetml/2006/main" count="21" uniqueCount="15">
  <si>
    <t>PRINCIPAL</t>
  </si>
  <si>
    <t>RATE</t>
  </si>
  <si>
    <t>PERIOD</t>
  </si>
  <si>
    <t>MONTH</t>
  </si>
  <si>
    <t>OUTSTANDING</t>
  </si>
  <si>
    <t>INTEREST</t>
  </si>
  <si>
    <t>EMI</t>
  </si>
  <si>
    <t>PMT</t>
  </si>
  <si>
    <t>PPMT</t>
  </si>
  <si>
    <t>IPMT</t>
  </si>
  <si>
    <t>PV</t>
  </si>
  <si>
    <t>PAYMENT</t>
  </si>
  <si>
    <t>PRINCIPAL PAYMENT</t>
  </si>
  <si>
    <t>INTEREST PAYMENT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</si>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</sst>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9" fontId="0" fillId="0" borderId="0" xfId="0" applyNumberFormat="1"/>
    <xf numFmtId="2" fontId="0" fillId="0" borderId="0" xfId="0" applyNumberFormat="1"/>
    <xf numFmtId="0" fontId="1" fillId="3" borderId="1" xfId="1" applyFill="1"/>
    <xf numFmtId="0" fontId="1" fillId="3" borderId="2" xfId="1" applyFill="1" applyBorder="1" applyAlignment="1">
      <alignment vertical="center"/>
    </xf>
    <xf numFmtId="0" fontId="0" fillId="0" borderId="2" xfId="0" applyBorder="1"/>
    <xf numFmtId="2" fontId="0" fillId="0" borderId="2" xfId="0" applyNumberFormat="1" applyBorder="1"/>
    <xf numFmtId="0" fontId="1" fillId="4" borderId="1" xfId="1" applyFill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DC29-5005-474F-B9F2-6AC9EA902F8C}">
  <dimension ref="C2:O64"/>
  <sheetViews>
    <sheetView tabSelected="1" workbookViewId="0">
      <selection activeCell="H2" sqref="H2"/>
    </sheetView>
  </sheetViews>
  <sheetFormatPr defaultRowHeight="15" x14ac:dyDescent="0.25"/>
  <cols>
    <col min="3" max="3" width="10.28515625" bestFit="1" customWidth="1"/>
    <col min="4" max="4" width="14.140625" bestFit="1" customWidth="1"/>
    <col min="5" max="5" width="10.28515625" bestFit="1" customWidth="1"/>
    <col min="6" max="7" width="9.85546875" bestFit="1" customWidth="1"/>
    <col min="10" max="10" width="19.5703125" bestFit="1" customWidth="1"/>
    <col min="15" max="15" width="11.5703125" bestFit="1" customWidth="1"/>
  </cols>
  <sheetData>
    <row r="2" spans="3:15" x14ac:dyDescent="0.25">
      <c r="C2" s="7" t="s">
        <v>0</v>
      </c>
      <c r="D2" s="7" t="s">
        <v>1</v>
      </c>
      <c r="E2" s="7" t="s">
        <v>2</v>
      </c>
      <c r="L2" s="3" t="s">
        <v>6</v>
      </c>
      <c r="M2" s="3" t="s">
        <v>1</v>
      </c>
      <c r="N2" s="3" t="s">
        <v>2</v>
      </c>
      <c r="O2" s="3" t="s">
        <v>0</v>
      </c>
    </row>
    <row r="3" spans="3:15" x14ac:dyDescent="0.25">
      <c r="C3">
        <v>200000</v>
      </c>
      <c r="D3" s="1">
        <v>0.1</v>
      </c>
      <c r="E3">
        <v>36</v>
      </c>
      <c r="L3">
        <v>2500</v>
      </c>
      <c r="M3" s="1">
        <v>0.09</v>
      </c>
      <c r="N3">
        <v>24</v>
      </c>
      <c r="O3" s="2">
        <f>PV(M3/12,N3,-L3)</f>
        <v>54722.865343594895</v>
      </c>
    </row>
    <row r="5" spans="3:15" x14ac:dyDescent="0.25">
      <c r="C5" s="4" t="s">
        <v>3</v>
      </c>
      <c r="D5" s="4" t="s">
        <v>4</v>
      </c>
      <c r="E5" s="4" t="s">
        <v>0</v>
      </c>
      <c r="F5" s="4" t="s">
        <v>5</v>
      </c>
      <c r="G5" s="4" t="s">
        <v>6</v>
      </c>
    </row>
    <row r="6" spans="3:15" x14ac:dyDescent="0.25">
      <c r="C6" s="5">
        <v>1</v>
      </c>
      <c r="D6" s="5">
        <f>(C3)</f>
        <v>200000</v>
      </c>
      <c r="E6" s="6">
        <f>PPMT($D$3/12,C6,$E$3,-$C$3)</f>
        <v>4786.770772100831</v>
      </c>
      <c r="F6" s="6">
        <f>IPMT($D$3/12,C6,$E$3,-$C$3)</f>
        <v>1666.6666666666667</v>
      </c>
      <c r="G6" s="6">
        <f>PMT($D$3/12,$E$3,-$C$3)</f>
        <v>6453.437438767497</v>
      </c>
      <c r="I6" s="3" t="s">
        <v>7</v>
      </c>
      <c r="J6" t="s">
        <v>11</v>
      </c>
    </row>
    <row r="7" spans="3:15" x14ac:dyDescent="0.25">
      <c r="C7" s="5">
        <v>2</v>
      </c>
      <c r="D7" s="6">
        <f>D6-E6</f>
        <v>195213.22922789917</v>
      </c>
      <c r="E7" s="6">
        <f t="shared" ref="E7:E41" si="0">PPMT($D$3/12,C7,$E$3,-$C$3)</f>
        <v>4826.6605285350042</v>
      </c>
      <c r="F7" s="6">
        <f t="shared" ref="F7:F41" si="1">IPMT($D$3/12,C7,$E$3,-$C$3)</f>
        <v>1626.776910232493</v>
      </c>
      <c r="G7" s="6">
        <f t="shared" ref="G7:G41" si="2">PMT($D$3/12,$E$3,-$C$3)</f>
        <v>6453.437438767497</v>
      </c>
      <c r="I7" s="3" t="s">
        <v>8</v>
      </c>
      <c r="J7" t="s">
        <v>12</v>
      </c>
    </row>
    <row r="8" spans="3:15" x14ac:dyDescent="0.25">
      <c r="C8" s="5">
        <v>3</v>
      </c>
      <c r="D8" s="6">
        <f t="shared" ref="D8:D41" si="3">D7-E7</f>
        <v>190386.56869936417</v>
      </c>
      <c r="E8" s="6">
        <f t="shared" si="0"/>
        <v>4866.8826996061289</v>
      </c>
      <c r="F8" s="6">
        <f t="shared" si="1"/>
        <v>1586.5547391613679</v>
      </c>
      <c r="G8" s="6">
        <f t="shared" si="2"/>
        <v>6453.437438767497</v>
      </c>
      <c r="I8" s="3" t="s">
        <v>9</v>
      </c>
      <c r="J8" t="s">
        <v>13</v>
      </c>
    </row>
    <row r="9" spans="3:15" x14ac:dyDescent="0.25">
      <c r="C9" s="5">
        <v>4</v>
      </c>
      <c r="D9" s="6">
        <f t="shared" si="3"/>
        <v>185519.68599975805</v>
      </c>
      <c r="E9" s="6">
        <f t="shared" si="0"/>
        <v>4907.44005543618</v>
      </c>
      <c r="F9" s="6">
        <f t="shared" si="1"/>
        <v>1545.9973833313168</v>
      </c>
      <c r="G9" s="6">
        <f t="shared" si="2"/>
        <v>6453.437438767497</v>
      </c>
      <c r="I9" s="3" t="s">
        <v>10</v>
      </c>
      <c r="J9" t="s">
        <v>12</v>
      </c>
    </row>
    <row r="10" spans="3:15" x14ac:dyDescent="0.25">
      <c r="C10" s="5">
        <v>5</v>
      </c>
      <c r="D10" s="6">
        <f t="shared" si="3"/>
        <v>180612.24594432185</v>
      </c>
      <c r="E10" s="6">
        <f t="shared" si="0"/>
        <v>4948.3353892314817</v>
      </c>
      <c r="F10" s="6">
        <f t="shared" si="1"/>
        <v>1505.1020495360153</v>
      </c>
      <c r="G10" s="6">
        <f t="shared" si="2"/>
        <v>6453.437438767497</v>
      </c>
    </row>
    <row r="11" spans="3:15" x14ac:dyDescent="0.25">
      <c r="C11" s="5">
        <v>6</v>
      </c>
      <c r="D11" s="6">
        <f t="shared" si="3"/>
        <v>175663.91055509038</v>
      </c>
      <c r="E11" s="6">
        <f t="shared" si="0"/>
        <v>4989.5715174750776</v>
      </c>
      <c r="F11" s="6">
        <f t="shared" si="1"/>
        <v>1463.8659212924201</v>
      </c>
      <c r="G11" s="6">
        <f t="shared" si="2"/>
        <v>6453.437438767497</v>
      </c>
    </row>
    <row r="12" spans="3:15" x14ac:dyDescent="0.25">
      <c r="C12" s="5">
        <v>7</v>
      </c>
      <c r="D12" s="6">
        <f t="shared" si="3"/>
        <v>170674.33903761531</v>
      </c>
      <c r="E12" s="6">
        <f t="shared" si="0"/>
        <v>5031.1512801207036</v>
      </c>
      <c r="F12" s="6">
        <f t="shared" si="1"/>
        <v>1422.2861586467941</v>
      </c>
      <c r="G12" s="6">
        <f t="shared" si="2"/>
        <v>6453.437438767497</v>
      </c>
    </row>
    <row r="13" spans="3:15" x14ac:dyDescent="0.25">
      <c r="C13" s="5">
        <v>8</v>
      </c>
      <c r="D13" s="6">
        <f t="shared" si="3"/>
        <v>165643.1877574946</v>
      </c>
      <c r="E13" s="6">
        <f t="shared" si="0"/>
        <v>5073.0775407883757</v>
      </c>
      <c r="F13" s="6">
        <f t="shared" si="1"/>
        <v>1380.3598979791216</v>
      </c>
      <c r="G13" s="6">
        <f t="shared" si="2"/>
        <v>6453.437438767497</v>
      </c>
    </row>
    <row r="14" spans="3:15" x14ac:dyDescent="0.25">
      <c r="C14" s="5">
        <v>9</v>
      </c>
      <c r="D14" s="6">
        <f t="shared" si="3"/>
        <v>160570.11021670623</v>
      </c>
      <c r="E14" s="6">
        <f t="shared" si="0"/>
        <v>5115.3531869616127</v>
      </c>
      <c r="F14" s="6">
        <f t="shared" si="1"/>
        <v>1338.0842518058851</v>
      </c>
      <c r="G14" s="6">
        <f t="shared" si="2"/>
        <v>6453.437438767497</v>
      </c>
    </row>
    <row r="15" spans="3:15" x14ac:dyDescent="0.25">
      <c r="C15" s="5">
        <v>10</v>
      </c>
      <c r="D15" s="6">
        <f t="shared" si="3"/>
        <v>155454.75702974462</v>
      </c>
      <c r="E15" s="6">
        <f t="shared" si="0"/>
        <v>5157.9811301862928</v>
      </c>
      <c r="F15" s="6">
        <f t="shared" si="1"/>
        <v>1295.4563085812049</v>
      </c>
      <c r="G15" s="6">
        <f t="shared" si="2"/>
        <v>6453.437438767497</v>
      </c>
    </row>
    <row r="16" spans="3:15" x14ac:dyDescent="0.25">
      <c r="C16" s="5">
        <v>11</v>
      </c>
      <c r="D16" s="6">
        <f t="shared" si="3"/>
        <v>150296.77589955833</v>
      </c>
      <c r="E16" s="6">
        <f t="shared" si="0"/>
        <v>5200.9643062711784</v>
      </c>
      <c r="F16" s="6">
        <f t="shared" si="1"/>
        <v>1252.4731324963193</v>
      </c>
      <c r="G16" s="6">
        <f t="shared" si="2"/>
        <v>6453.437438767497</v>
      </c>
    </row>
    <row r="17" spans="3:7" x14ac:dyDescent="0.25">
      <c r="C17" s="5">
        <v>12</v>
      </c>
      <c r="D17" s="6">
        <f t="shared" si="3"/>
        <v>145095.81159328716</v>
      </c>
      <c r="E17" s="6">
        <f t="shared" si="0"/>
        <v>5244.3056754901045</v>
      </c>
      <c r="F17" s="6">
        <f t="shared" si="1"/>
        <v>1209.1317632773928</v>
      </c>
      <c r="G17" s="6">
        <f t="shared" si="2"/>
        <v>6453.437438767497</v>
      </c>
    </row>
    <row r="18" spans="3:7" x14ac:dyDescent="0.25">
      <c r="C18" s="5">
        <v>13</v>
      </c>
      <c r="D18" s="6">
        <f t="shared" si="3"/>
        <v>139851.50591779704</v>
      </c>
      <c r="E18" s="6">
        <f t="shared" si="0"/>
        <v>5288.0082227858547</v>
      </c>
      <c r="F18" s="6">
        <f t="shared" si="1"/>
        <v>1165.4292159816421</v>
      </c>
      <c r="G18" s="6">
        <f t="shared" si="2"/>
        <v>6453.437438767497</v>
      </c>
    </row>
    <row r="19" spans="3:7" x14ac:dyDescent="0.25">
      <c r="C19" s="5">
        <v>14</v>
      </c>
      <c r="D19" s="6">
        <f t="shared" si="3"/>
        <v>134563.49769501117</v>
      </c>
      <c r="E19" s="6">
        <f t="shared" si="0"/>
        <v>5332.0749579757376</v>
      </c>
      <c r="F19" s="6">
        <f t="shared" si="1"/>
        <v>1121.3624807917597</v>
      </c>
      <c r="G19" s="6">
        <f t="shared" si="2"/>
        <v>6453.437438767497</v>
      </c>
    </row>
    <row r="20" spans="3:7" x14ac:dyDescent="0.25">
      <c r="C20" s="5">
        <v>15</v>
      </c>
      <c r="D20" s="6">
        <f t="shared" si="3"/>
        <v>129231.42273703543</v>
      </c>
      <c r="E20" s="6">
        <f t="shared" si="0"/>
        <v>5376.5089159588688</v>
      </c>
      <c r="F20" s="6">
        <f t="shared" si="1"/>
        <v>1076.9285228086287</v>
      </c>
      <c r="G20" s="6">
        <f t="shared" si="2"/>
        <v>6453.437438767497</v>
      </c>
    </row>
    <row r="21" spans="3:7" x14ac:dyDescent="0.25">
      <c r="C21" s="5">
        <v>16</v>
      </c>
      <c r="D21" s="6">
        <f t="shared" si="3"/>
        <v>123854.91382107657</v>
      </c>
      <c r="E21" s="6">
        <f t="shared" si="0"/>
        <v>5421.3131569251927</v>
      </c>
      <c r="F21" s="6">
        <f t="shared" si="1"/>
        <v>1032.1242818423048</v>
      </c>
      <c r="G21" s="6">
        <f t="shared" si="2"/>
        <v>6453.437438767497</v>
      </c>
    </row>
    <row r="22" spans="3:7" x14ac:dyDescent="0.25">
      <c r="C22" s="5">
        <v>17</v>
      </c>
      <c r="D22" s="6">
        <f t="shared" si="3"/>
        <v>118433.60066415137</v>
      </c>
      <c r="E22" s="6">
        <f t="shared" si="0"/>
        <v>5466.4907665662358</v>
      </c>
      <c r="F22" s="6">
        <f t="shared" si="1"/>
        <v>986.94667220126155</v>
      </c>
      <c r="G22" s="6">
        <f t="shared" si="2"/>
        <v>6453.437438767497</v>
      </c>
    </row>
    <row r="23" spans="3:7" x14ac:dyDescent="0.25">
      <c r="C23" s="5">
        <v>18</v>
      </c>
      <c r="D23" s="6">
        <f t="shared" si="3"/>
        <v>112967.10989758513</v>
      </c>
      <c r="E23" s="6">
        <f t="shared" si="0"/>
        <v>5512.0448562876218</v>
      </c>
      <c r="F23" s="6">
        <f t="shared" si="1"/>
        <v>941.39258247987595</v>
      </c>
      <c r="G23" s="6">
        <f t="shared" si="2"/>
        <v>6453.437438767497</v>
      </c>
    </row>
    <row r="24" spans="3:7" x14ac:dyDescent="0.25">
      <c r="C24" s="5">
        <v>19</v>
      </c>
      <c r="D24" s="6">
        <f t="shared" si="3"/>
        <v>107455.06504129751</v>
      </c>
      <c r="E24" s="6">
        <f t="shared" si="0"/>
        <v>5557.9785634233513</v>
      </c>
      <c r="F24" s="6">
        <f t="shared" si="1"/>
        <v>895.45887534414601</v>
      </c>
      <c r="G24" s="6">
        <f t="shared" si="2"/>
        <v>6453.437438767497</v>
      </c>
    </row>
    <row r="25" spans="3:7" x14ac:dyDescent="0.25">
      <c r="C25" s="5">
        <v>20</v>
      </c>
      <c r="D25" s="6">
        <f t="shared" si="3"/>
        <v>101897.08647787415</v>
      </c>
      <c r="E25" s="6">
        <f t="shared" si="0"/>
        <v>5604.2950514518789</v>
      </c>
      <c r="F25" s="6">
        <f t="shared" si="1"/>
        <v>849.14238731561807</v>
      </c>
      <c r="G25" s="6">
        <f t="shared" si="2"/>
        <v>6453.437438767497</v>
      </c>
    </row>
    <row r="26" spans="3:7" x14ac:dyDescent="0.25">
      <c r="C26" s="5">
        <v>21</v>
      </c>
      <c r="D26" s="6">
        <f t="shared" si="3"/>
        <v>96292.791426422278</v>
      </c>
      <c r="E26" s="6">
        <f t="shared" si="0"/>
        <v>5650.9975102139779</v>
      </c>
      <c r="F26" s="6">
        <f t="shared" si="1"/>
        <v>802.43992855351905</v>
      </c>
      <c r="G26" s="6">
        <f t="shared" si="2"/>
        <v>6453.437438767497</v>
      </c>
    </row>
    <row r="27" spans="3:7" x14ac:dyDescent="0.25">
      <c r="C27" s="5">
        <v>22</v>
      </c>
      <c r="D27" s="6">
        <f t="shared" si="3"/>
        <v>90641.793916208306</v>
      </c>
      <c r="E27" s="6">
        <f t="shared" si="0"/>
        <v>5698.0891561324279</v>
      </c>
      <c r="F27" s="6">
        <f t="shared" si="1"/>
        <v>755.34828263506915</v>
      </c>
      <c r="G27" s="6">
        <f t="shared" si="2"/>
        <v>6453.437438767497</v>
      </c>
    </row>
    <row r="28" spans="3:7" x14ac:dyDescent="0.25">
      <c r="C28" s="5">
        <v>23</v>
      </c>
      <c r="D28" s="6">
        <f t="shared" si="3"/>
        <v>84943.704760075881</v>
      </c>
      <c r="E28" s="6">
        <f t="shared" si="0"/>
        <v>5745.5732324335313</v>
      </c>
      <c r="F28" s="6">
        <f t="shared" si="1"/>
        <v>707.86420633396551</v>
      </c>
      <c r="G28" s="6">
        <f t="shared" si="2"/>
        <v>6453.437438767497</v>
      </c>
    </row>
    <row r="29" spans="3:7" x14ac:dyDescent="0.25">
      <c r="C29" s="5">
        <v>24</v>
      </c>
      <c r="D29" s="6">
        <f t="shared" si="3"/>
        <v>79198.131527642356</v>
      </c>
      <c r="E29" s="6">
        <f t="shared" si="0"/>
        <v>5793.453009370478</v>
      </c>
      <c r="F29" s="6">
        <f t="shared" si="1"/>
        <v>659.98442939701954</v>
      </c>
      <c r="G29" s="6">
        <f t="shared" si="2"/>
        <v>6453.437438767497</v>
      </c>
    </row>
    <row r="30" spans="3:7" x14ac:dyDescent="0.25">
      <c r="C30" s="5">
        <v>25</v>
      </c>
      <c r="D30" s="6">
        <f t="shared" si="3"/>
        <v>73404.678518271874</v>
      </c>
      <c r="E30" s="6">
        <f t="shared" si="0"/>
        <v>5841.7317844485651</v>
      </c>
      <c r="F30" s="6">
        <f t="shared" si="1"/>
        <v>611.70565431893226</v>
      </c>
      <c r="G30" s="6">
        <f t="shared" si="2"/>
        <v>6453.437438767497</v>
      </c>
    </row>
    <row r="31" spans="3:7" x14ac:dyDescent="0.25">
      <c r="C31" s="5">
        <v>26</v>
      </c>
      <c r="D31" s="6">
        <f t="shared" si="3"/>
        <v>67562.946733823308</v>
      </c>
      <c r="E31" s="6">
        <f t="shared" si="0"/>
        <v>5890.4128826523038</v>
      </c>
      <c r="F31" s="6">
        <f t="shared" si="1"/>
        <v>563.02455611519406</v>
      </c>
      <c r="G31" s="6">
        <f t="shared" si="2"/>
        <v>6453.437438767497</v>
      </c>
    </row>
    <row r="32" spans="3:7" x14ac:dyDescent="0.25">
      <c r="C32" s="5">
        <v>27</v>
      </c>
      <c r="D32" s="6">
        <f t="shared" si="3"/>
        <v>61672.533851171007</v>
      </c>
      <c r="E32" s="6">
        <f t="shared" si="0"/>
        <v>5939.4996566744057</v>
      </c>
      <c r="F32" s="6">
        <f t="shared" si="1"/>
        <v>513.93778209309176</v>
      </c>
      <c r="G32" s="6">
        <f t="shared" si="2"/>
        <v>6453.437438767497</v>
      </c>
    </row>
    <row r="33" spans="3:7" x14ac:dyDescent="0.25">
      <c r="C33" s="5">
        <v>28</v>
      </c>
      <c r="D33" s="6">
        <f t="shared" si="3"/>
        <v>55733.034194496599</v>
      </c>
      <c r="E33" s="6">
        <f t="shared" si="0"/>
        <v>5988.9954871466925</v>
      </c>
      <c r="F33" s="6">
        <f t="shared" si="1"/>
        <v>464.44195162080496</v>
      </c>
      <c r="G33" s="6">
        <f t="shared" si="2"/>
        <v>6453.437438767497</v>
      </c>
    </row>
    <row r="34" spans="3:7" x14ac:dyDescent="0.25">
      <c r="C34" s="5">
        <v>29</v>
      </c>
      <c r="D34" s="6">
        <f t="shared" si="3"/>
        <v>49744.038707349908</v>
      </c>
      <c r="E34" s="6">
        <f t="shared" si="0"/>
        <v>6038.9037828729151</v>
      </c>
      <c r="F34" s="6">
        <f t="shared" si="1"/>
        <v>414.53365589458252</v>
      </c>
      <c r="G34" s="6">
        <f t="shared" si="2"/>
        <v>6453.437438767497</v>
      </c>
    </row>
    <row r="35" spans="3:7" x14ac:dyDescent="0.25">
      <c r="C35" s="5">
        <v>30</v>
      </c>
      <c r="D35" s="6">
        <f t="shared" si="3"/>
        <v>43705.134924476995</v>
      </c>
      <c r="E35" s="6">
        <f t="shared" si="0"/>
        <v>6089.2279810635227</v>
      </c>
      <c r="F35" s="6">
        <f t="shared" si="1"/>
        <v>364.20945770397492</v>
      </c>
      <c r="G35" s="6">
        <f t="shared" si="2"/>
        <v>6453.437438767497</v>
      </c>
    </row>
    <row r="36" spans="3:7" x14ac:dyDescent="0.25">
      <c r="C36" s="5">
        <v>31</v>
      </c>
      <c r="D36" s="6">
        <f t="shared" si="3"/>
        <v>37615.906943413473</v>
      </c>
      <c r="E36" s="6">
        <f t="shared" si="0"/>
        <v>6139.9715475723851</v>
      </c>
      <c r="F36" s="6">
        <f t="shared" si="1"/>
        <v>313.46589119511219</v>
      </c>
      <c r="G36" s="6">
        <f t="shared" si="2"/>
        <v>6453.437438767497</v>
      </c>
    </row>
    <row r="37" spans="3:7" x14ac:dyDescent="0.25">
      <c r="C37" s="5">
        <v>32</v>
      </c>
      <c r="D37" s="6">
        <f t="shared" si="3"/>
        <v>31475.935395841087</v>
      </c>
      <c r="E37" s="6">
        <f t="shared" si="0"/>
        <v>6191.1379771354887</v>
      </c>
      <c r="F37" s="6">
        <f t="shared" si="1"/>
        <v>262.29946163200901</v>
      </c>
      <c r="G37" s="6">
        <f t="shared" si="2"/>
        <v>6453.437438767497</v>
      </c>
    </row>
    <row r="38" spans="3:7" x14ac:dyDescent="0.25">
      <c r="C38" s="5">
        <v>33</v>
      </c>
      <c r="D38" s="6">
        <f t="shared" si="3"/>
        <v>25284.797418705599</v>
      </c>
      <c r="E38" s="6">
        <f t="shared" si="0"/>
        <v>6242.7307936116167</v>
      </c>
      <c r="F38" s="6">
        <f t="shared" si="1"/>
        <v>210.70664515587995</v>
      </c>
      <c r="G38" s="6">
        <f t="shared" si="2"/>
        <v>6453.437438767497</v>
      </c>
    </row>
    <row r="39" spans="3:7" x14ac:dyDescent="0.25">
      <c r="C39" s="5">
        <v>34</v>
      </c>
      <c r="D39" s="6">
        <f t="shared" si="3"/>
        <v>19042.066625093983</v>
      </c>
      <c r="E39" s="6">
        <f t="shared" si="0"/>
        <v>6294.7535502250485</v>
      </c>
      <c r="F39" s="6">
        <f t="shared" si="1"/>
        <v>158.68388854244981</v>
      </c>
      <c r="G39" s="6">
        <f t="shared" si="2"/>
        <v>6453.437438767497</v>
      </c>
    </row>
    <row r="40" spans="3:7" x14ac:dyDescent="0.25">
      <c r="C40" s="5">
        <v>35</v>
      </c>
      <c r="D40" s="6">
        <f t="shared" si="3"/>
        <v>12747.313074868935</v>
      </c>
      <c r="E40" s="6">
        <f t="shared" si="0"/>
        <v>6347.2098298102565</v>
      </c>
      <c r="F40" s="6">
        <f t="shared" si="1"/>
        <v>106.22760895724109</v>
      </c>
      <c r="G40" s="6">
        <f t="shared" si="2"/>
        <v>6453.437438767497</v>
      </c>
    </row>
    <row r="41" spans="3:7" x14ac:dyDescent="0.25">
      <c r="C41" s="5">
        <v>36</v>
      </c>
      <c r="D41" s="6">
        <f t="shared" si="3"/>
        <v>6400.1032450586781</v>
      </c>
      <c r="E41" s="6">
        <f t="shared" si="0"/>
        <v>6400.1032450586754</v>
      </c>
      <c r="F41" s="6">
        <f t="shared" si="1"/>
        <v>53.334193708822291</v>
      </c>
      <c r="G41" s="6">
        <f t="shared" si="2"/>
        <v>6453.437438767497</v>
      </c>
    </row>
    <row r="42" spans="3:7" x14ac:dyDescent="0.25">
      <c r="C42" s="5"/>
      <c r="D42" s="5" t="s">
        <v>14</v>
      </c>
      <c r="E42" s="6">
        <f>SUM(E6:E41)</f>
        <v>199999.99999999997</v>
      </c>
      <c r="F42" s="6">
        <f>SUM(F6:F41)</f>
        <v>32323.747795629901</v>
      </c>
      <c r="G42" s="6">
        <f>SUM(E42:F42)</f>
        <v>232323.74779562987</v>
      </c>
    </row>
    <row r="59" spans="3:3" x14ac:dyDescent="0.25">
      <c r="C59">
        <v>24</v>
      </c>
    </row>
    <row r="60" spans="3:3" x14ac:dyDescent="0.25">
      <c r="C60">
        <v>24</v>
      </c>
    </row>
    <row r="61" spans="3:3" x14ac:dyDescent="0.25">
      <c r="C61">
        <v>24</v>
      </c>
    </row>
    <row r="62" spans="3:3" x14ac:dyDescent="0.25">
      <c r="C62">
        <v>24</v>
      </c>
    </row>
    <row r="63" spans="3:3" x14ac:dyDescent="0.25">
      <c r="C63">
        <v>24</v>
      </c>
    </row>
    <row r="64" spans="3:3" x14ac:dyDescent="0.25">
      <c r="C6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GCS</dc:creator>
  <cp:lastModifiedBy>GCS</cp:lastModifiedBy>
  <dcterms:created xsi:type="dcterms:W3CDTF">2025-10-10T14:22:04Z</dcterms:created>
  <dcterms:modified xsi:type="dcterms:W3CDTF">2025-10-10T15:01:04Z</dcterms:modified>
</cp:coreProperties>
</file>